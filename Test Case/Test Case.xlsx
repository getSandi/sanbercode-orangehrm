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QA\OrangeHRM\"/>
    </mc:Choice>
  </mc:AlternateContent>
  <xr:revisionPtr revIDLastSave="0" documentId="8_{D4A0F35F-9717-441B-A657-AF90818DA687}" xr6:coauthVersionLast="47" xr6:coauthVersionMax="47" xr10:uidLastSave="{00000000-0000-0000-0000-000000000000}"/>
  <bookViews>
    <workbookView xWindow="-110" yWindow="-110" windowWidth="19420" windowHeight="11020" xr2:uid="{57F81B09-6D53-4067-A83B-9A58E335B732}"/>
  </bookViews>
  <sheets>
    <sheet name="Test Cas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B8" i="2"/>
  <c r="B9" i="2"/>
  <c r="B7" i="2"/>
  <c r="B6" i="2"/>
  <c r="B5" i="2"/>
  <c r="B4" i="2"/>
</calcChain>
</file>

<file path=xl/sharedStrings.xml><?xml version="1.0" encoding="utf-8"?>
<sst xmlns="http://schemas.openxmlformats.org/spreadsheetml/2006/main" count="405" uniqueCount="289">
  <si>
    <t>Status</t>
  </si>
  <si>
    <t>Jumlah</t>
  </si>
  <si>
    <t>Persentase</t>
  </si>
  <si>
    <t>Pass</t>
  </si>
  <si>
    <t>Failed</t>
  </si>
  <si>
    <t>Blocked</t>
  </si>
  <si>
    <t>Untested</t>
  </si>
  <si>
    <t>Total</t>
  </si>
  <si>
    <t>No.</t>
  </si>
  <si>
    <t>Scenario ID</t>
  </si>
  <si>
    <t>Test Scenario Name</t>
  </si>
  <si>
    <t>ID Test Case</t>
  </si>
  <si>
    <t>Preconditions</t>
  </si>
  <si>
    <t>Kategori</t>
  </si>
  <si>
    <t>Data Test</t>
  </si>
  <si>
    <t>Test Steps</t>
  </si>
  <si>
    <t>Expected Results</t>
  </si>
  <si>
    <t>Actual Results</t>
  </si>
  <si>
    <t>TS-LOGIN-001</t>
  </si>
  <si>
    <t>Login dengan kredensial valid</t>
  </si>
  <si>
    <t>TC-LOGIN-001</t>
  </si>
  <si>
    <t>User berada di halaman Login dan belum login.</t>
  </si>
  <si>
    <t>Positive</t>
  </si>
  <si>
    <t>Username: Admin
 Password: admin123</t>
  </si>
  <si>
    <t>1. Buka halaman Login.
 2. Isi Username dengan Admin.
 3. Isi Password dengan admin123.
 4. Klik Login.</t>
  </si>
  <si>
    <t>User berhasil login dan diarahkan ke Dashboard.</t>
  </si>
  <si>
    <t>Login berhasil dan Dashboard tampil.</t>
  </si>
  <si>
    <t>TS-LOGIN-002</t>
  </si>
  <si>
    <t>Login dengan username tidak valid</t>
  </si>
  <si>
    <t>TC-LOGIN-002</t>
  </si>
  <si>
    <t>Negative</t>
  </si>
  <si>
    <t>Username: MasSandi
 Password: admin123</t>
  </si>
  <si>
    <t>1. Isi Username dengan InvalidUser.
 2. Isi Password dengan admin123.
 3. Klik Login.</t>
  </si>
  <si>
    <t>Sistem menolak login dan menampilkan pesan error.</t>
  </si>
  <si>
    <t>Login ditolak dan pesan "invalid credential " tampil.</t>
  </si>
  <si>
    <t>TS-LOGIN-003</t>
  </si>
  <si>
    <t>Login dengan password tidak valid</t>
  </si>
  <si>
    <t>TC-LOGIN-003</t>
  </si>
  <si>
    <t>Username: Admin
 Password: MasSandi</t>
  </si>
  <si>
    <t>1. Isi Username dengan Admin.
 2. Isi Password dengan wrong123.
 3. Klik Login.</t>
  </si>
  <si>
    <t>TS-LOGIN-004</t>
  </si>
  <si>
    <t>Login dengan username dan password tidak valid</t>
  </si>
  <si>
    <t>TC-LOGIN-004</t>
  </si>
  <si>
    <t>Username: MasSandi
 Password: MasSandi</t>
  </si>
  <si>
    <t>1. Isi username tidak valid.
 2. Isi password tidak valid.
 3. Klik Login.</t>
  </si>
  <si>
    <t>TS-LOGIN-005</t>
  </si>
  <si>
    <t>Login dengan username kosong</t>
  </si>
  <si>
    <t>TC-LOGIN-005</t>
  </si>
  <si>
    <t>Username: kosong
 Password: admin123</t>
  </si>
  <si>
    <t>1. Kosongkan Username.
 2. Isi Password dengan admin123.
 3. Klik Login.</t>
  </si>
  <si>
    <t>Validasi username wajib tampil dan login tidak diproses.</t>
  </si>
  <si>
    <t>Validasi 'Required' tampil pada field Username dan login tidak diproses.</t>
  </si>
  <si>
    <t>TS-LOGIN-006</t>
  </si>
  <si>
    <t>Login dengan password kosong</t>
  </si>
  <si>
    <t>TC-LOGIN-006</t>
  </si>
  <si>
    <t>Negative / Validation</t>
  </si>
  <si>
    <t>Username: Admin
 Password: kosong</t>
  </si>
  <si>
    <t>1. Isi Username dengan Admin.
 2. Kosongkan Password.
 3. Klik Login.</t>
  </si>
  <si>
    <t>Validasi password wajib tampil dan login tidak diproses.</t>
  </si>
  <si>
    <t>Validasi 'Required' tampil pada field Password dan login tidak diproses.</t>
  </si>
  <si>
    <t>TS-LOGIN-007</t>
  </si>
  <si>
    <t>Login dengan kedua field kosong</t>
  </si>
  <si>
    <t>TC-LOGIN-007</t>
  </si>
  <si>
    <t>Username: kosong
 Password: kosong</t>
  </si>
  <si>
    <t>1. Biarkan Username kosong.
 2. Biarkan Password kosong.
 3. Klik Login.</t>
  </si>
  <si>
    <t>Validasi wajib tampil pada Username dan Password.</t>
  </si>
  <si>
    <t>Validasi 'Required' tampil pada kedua field dan login tidak diproses.</t>
  </si>
  <si>
    <t>TS-LOGIN-008</t>
  </si>
  <si>
    <t>Password ditampilkan sebagai karakter tersembunyi</t>
  </si>
  <si>
    <t>TC-LOGIN-008</t>
  </si>
  <si>
    <t>User berada di halaman Login.</t>
  </si>
  <si>
    <t>Password: admin123</t>
  </si>
  <si>
    <t>1. Klik field Password.
 2. Ketik admin123.
 3. Amati tampilan field Password.</t>
  </si>
  <si>
    <t>Karakter password tidak ditampilkan dalam bentuk teks biasa.</t>
  </si>
  <si>
    <t>Password tampil sebagai karakter tersembunyi.</t>
  </si>
  <si>
    <t>TS-LOGIN-009</t>
  </si>
  <si>
    <t>Username bersifat case-sensitive</t>
  </si>
  <si>
    <t>TC-LOGIN-009</t>
  </si>
  <si>
    <t>Username: admin
 Password: admin123</t>
  </si>
  <si>
    <t>1. Isi Username dengan admin (huruf kecil).
 2. Isi Password dengan admin123.
 3. Klik Login.</t>
  </si>
  <si>
    <t>Login ditolak karena username tidak sesuai dengan kredensial yang valid.</t>
  </si>
  <si>
    <t>TS-LOGIN-010</t>
  </si>
  <si>
    <t>Password bersifat case-sensitive</t>
  </si>
  <si>
    <t>TC-LOGIN-010</t>
  </si>
  <si>
    <t>Username: Admin
 Password: ADMIN123</t>
  </si>
  <si>
    <t>1. Isi Username dengan Admin.
 2. Isi Password dengan ADMIN123.
 3. Klik Login.</t>
  </si>
  <si>
    <t>Login ditolak karena password tidak sesuai.</t>
  </si>
  <si>
    <t>TS-LOGIN-011</t>
  </si>
  <si>
    <t>Akses Forgot your password</t>
  </si>
  <si>
    <t>TC-LOGIN-011</t>
  </si>
  <si>
    <t>Username: -</t>
  </si>
  <si>
    <t>1. Klik 'Forgot your password?'.</t>
  </si>
  <si>
    <t>Halaman Reset Password terbuka dan menyediakan field Username.</t>
  </si>
  <si>
    <t>Halaman Reset Password terbuka dengan field Username dan tombol Reset Password.</t>
  </si>
  <si>
    <t>TS-LOGIN-012</t>
  </si>
  <si>
    <t>Login menggunakan tombol Enter</t>
  </si>
  <si>
    <t>TC-LOGIN-012</t>
  </si>
  <si>
    <t>1. Isi Username dengan Admin.
 2. Isi Password dengan admin123.
 3. Tekan Enter pada field Password.</t>
  </si>
  <si>
    <t>Form login diproses dan user masuk ke Dashboard.</t>
  </si>
  <si>
    <t>Login diproses dan Dashboard tampil.</t>
  </si>
  <si>
    <t>DIRECTORY</t>
  </si>
  <si>
    <t>TS-DIR-001</t>
  </si>
  <si>
    <t>Membuka menu Directory</t>
  </si>
  <si>
    <t>TC-DIR-001</t>
  </si>
  <si>
    <t>User berhasil login sebagai Admin.</t>
  </si>
  <si>
    <t>Account: Admin</t>
  </si>
  <si>
    <t>1. Login ke aplikasi.
 2. Klik menu Directory.</t>
  </si>
  <si>
    <t>Halaman Directory terbuka.</t>
  </si>
  <si>
    <t>Halaman Directory berhasil ditampilkan.</t>
  </si>
  <si>
    <t>TS-DIR-002</t>
  </si>
  <si>
    <t>Menampilkan daftar employee</t>
  </si>
  <si>
    <t>TC-DIR-002</t>
  </si>
  <si>
    <t>User berada di halaman Directory.</t>
  </si>
  <si>
    <t>Data employee yang tersedia</t>
  </si>
  <si>
    <t>1. Amati halaman Directory.</t>
  </si>
  <si>
    <t>Daftar employee ditampilkan dalam bentuk card/list.</t>
  </si>
  <si>
    <t>Daftar employee tampil dan dapat dilihat.</t>
  </si>
  <si>
    <t>TS-DIR-003</t>
  </si>
  <si>
    <t>Mencari employee berdasarkan nama</t>
  </si>
  <si>
    <t>TC-DIR-003</t>
  </si>
  <si>
    <t>User berada di halaman Directory dan data employee tersedia.</t>
  </si>
  <si>
    <t>Nama: Peter Mac Anderson</t>
  </si>
  <si>
    <t>1. Klik Employee Name.
 2. Isi Name dengan Peter Mac Anderson.
 3. Klik Search.</t>
  </si>
  <si>
    <t>Hasil menampilkan employee yang sesuai dengan nama pencarian.</t>
  </si>
  <si>
    <t>Employee yang sesuai dengan nama pencarian ditampilkan.</t>
  </si>
  <si>
    <t>TS-DIR-004</t>
  </si>
  <si>
    <t>Pencarian nama yang tidak ditemukan</t>
  </si>
  <si>
    <t>TC-DIR-004</t>
  </si>
  <si>
    <t>Nama: Mas Sandi</t>
  </si>
  <si>
    <t>1. Buka Filter.
 2. Isi Name dengan Mas Sandi.
 3. Klik Search.</t>
  </si>
  <si>
    <t>Tidak ada employee yang sesuai dan sistem menampilkan kondisi hasil kosong.</t>
  </si>
  <si>
    <t>Tidak ada employee yang cocok dengan kata kunci tersebut.</t>
  </si>
  <si>
    <t>TS-DIR-005</t>
  </si>
  <si>
    <t>Filter berdasarkan Job Title</t>
  </si>
  <si>
    <t>TC-DIR-005</t>
  </si>
  <si>
    <t>Job Title: Software Engineer</t>
  </si>
  <si>
    <t>1. Buka Filter.
 2. Pilih Job Title Finance Manager.
 3. Klik Search.</t>
  </si>
  <si>
    <t>Hasil hanya menampilkan employee dengan Job Title yang dipilih.</t>
  </si>
  <si>
    <t>Hasil terfilter berdasarkan Job Title yang dipilih.</t>
  </si>
  <si>
    <t>TS-DIR-006</t>
  </si>
  <si>
    <t>Filter berdasarkan Location</t>
  </si>
  <si>
    <t>TC-DIR-006</t>
  </si>
  <si>
    <t>Location: HQ-CA, USA</t>
  </si>
  <si>
    <t>1. Buka Filter.
 2. Pilih Location yang tersedia (contoh: HQ-CA, USA).
 3. Klik Search.</t>
  </si>
  <si>
    <t>Hasil hanya menampilkan employee pada lokasi yang dipilih.</t>
  </si>
  <si>
    <t>Hasil terfilter berdasarkan Location yang dipilih.</t>
  </si>
  <si>
    <t>TS-DIR-007</t>
  </si>
  <si>
    <t>Kombinasi filter Directory</t>
  </si>
  <si>
    <t>TC-DIR-007</t>
  </si>
  <si>
    <t>User berada di halaman Directory dan filter tersedia.</t>
  </si>
  <si>
    <t>Name + Job Title/Location</t>
  </si>
  <si>
    <t>1. Buka Filter.
 2. Isi/pilih lebih dari satu kriteria.
 3. Klik Search.</t>
  </si>
  <si>
    <t>Hasil memenuhi seluruh kriteria filter yang dipilih.</t>
  </si>
  <si>
    <t>Hasil pencarian mengikuti kombinasi filter yang diterapkan.</t>
  </si>
  <si>
    <t>TS-DIR-008</t>
  </si>
  <si>
    <t>Reset filter Directory</t>
  </si>
  <si>
    <t>TC-DIR-008</t>
  </si>
  <si>
    <t>User sudah menerapkan filter di Directory.</t>
  </si>
  <si>
    <t>Filter Name/Job Title/Location</t>
  </si>
  <si>
    <t>1. Buka Filter.
 2. Isi salah satu atau beberapa filter.
 3. Klik Reset.</t>
  </si>
  <si>
    <t>Filter kembali ke kondisi default dan hasil pencarian kembali ke daftar awal.</t>
  </si>
  <si>
    <t>Filter ter-reset dan daftar kembali ke kondisi awal.</t>
  </si>
  <si>
    <t>TS-DIR-009</t>
  </si>
  <si>
    <t>Melihat detail employee</t>
  </si>
  <si>
    <t>TC-DIR-009</t>
  </si>
  <si>
    <t>User berada di Directory dan minimal satu employee tersedia.</t>
  </si>
  <si>
    <t>Employee: salah satu employee yang tampil</t>
  </si>
  <si>
    <t>1. Klik salah satu employee card.
 2. Amati detail employee.</t>
  </si>
  <si>
    <t>Detail employee yang dipilih ditampilkan.</t>
  </si>
  <si>
    <t>Detail employee tampil pada panel/card detail.</t>
  </si>
  <si>
    <t>TS-DIR-010</t>
  </si>
  <si>
    <t>Navigasi pagination Directory</t>
  </si>
  <si>
    <t>TC-DIR-010</t>
  </si>
  <si>
    <t>Directory memiliki lebih dari satu halaman data.</t>
  </si>
  <si>
    <t>Data employee &gt; 1 halaman</t>
  </si>
  <si>
    <t>1. Buka Directory.
 2. Gunakan kontrol pagination untuk berpindah halaman.</t>
  </si>
  <si>
    <t>Halaman berikutnya terbuka dan daftar employee berubah sesuai halaman.</t>
  </si>
  <si>
    <t>Pagination dapat digunakan dan data pada halaman berubah.</t>
  </si>
  <si>
    <t>TS-DIR-011</t>
  </si>
  <si>
    <t>Menyalin Work Telephone employee dari Directory</t>
  </si>
  <si>
    <t>TC-DIR-011</t>
  </si>
  <si>
    <t>User berada di Directory dan detail employee memiliki Work Telephone yang terlihat.</t>
  </si>
  <si>
    <t>Work Telephone employee yang tersedia</t>
  </si>
  <si>
    <t>1. Buka detail employee.
 2. Klik/copy Work Telephoneemployee jika opsi tersedia.
 3. Paste ke text editor.</t>
  </si>
  <si>
    <t>Work Telephone tersalin sesuai data employee.</t>
  </si>
  <si>
    <t>Work Telephone dapat disalin dan hasil paste sesuai alamat yang ditampilkan.</t>
  </si>
  <si>
    <t>TS-DIR-012</t>
  </si>
  <si>
    <t>Menyalin email employee dari Directory</t>
  </si>
  <si>
    <t>TC-DIR-012</t>
  </si>
  <si>
    <t>User berada di Directory dan detail employee memiliki email yang terlihat.</t>
  </si>
  <si>
    <t>Email employee yang tersedia</t>
  </si>
  <si>
    <t>1. Buka detail employee.
 2. Klik/copy email employee jika opsi tersedia.
 3. Paste ke text editor.</t>
  </si>
  <si>
    <t>Alamat email tersalin sesuai data employee.</t>
  </si>
  <si>
    <t>Alamat email dapat disalin dan hasil paste sesuai alamat yang ditampilkan.</t>
  </si>
  <si>
    <t>RECRUITMENT</t>
  </si>
  <si>
    <t>TS-REC-001</t>
  </si>
  <si>
    <t>Membuka menu Recruitment</t>
  </si>
  <si>
    <t>TC-REC-001</t>
  </si>
  <si>
    <t xml:space="preserve">Positive </t>
  </si>
  <si>
    <t>1. Login ke aplikasi.
 2. Klik menu Recruitment.</t>
  </si>
  <si>
    <t>Halaman Recruitment terbuka.</t>
  </si>
  <si>
    <t>Halaman Recruitment berhasil ditampilkan.</t>
  </si>
  <si>
    <t>TS-REC-002</t>
  </si>
  <si>
    <t>Menampilkan daftar Candidates</t>
  </si>
  <si>
    <t>TC-REC-002</t>
  </si>
  <si>
    <t>User berada di halaman Recruitment.</t>
  </si>
  <si>
    <t>Submenu: Candidates</t>
  </si>
  <si>
    <t>1. Klik Recruitment.
 2. Pilih Candidates.</t>
  </si>
  <si>
    <t>Halaman Candidates terbuka dan daftar kandidat ditampilkan jika data tersedia.</t>
  </si>
  <si>
    <t>Halaman Candidates berhasil dibuka.</t>
  </si>
  <si>
    <t>TS-REC-003</t>
  </si>
  <si>
    <t>Menampilkan daftar Vacancies</t>
  </si>
  <si>
    <t>TC-REC-003</t>
  </si>
  <si>
    <t>Submenu: Vacancies</t>
  </si>
  <si>
    <t>1. Klik Recruitment.
 2. Pilih Vacancies.</t>
  </si>
  <si>
    <t>Halaman Vacancies terbuka dan daftar vacancy ditampilkan jika data tersedia.</t>
  </si>
  <si>
    <t>Halaman Vacancies berhasil dibuka.</t>
  </si>
  <si>
    <t>TS-REC-004</t>
  </si>
  <si>
    <t>Mencari candidate berdasarkan nama</t>
  </si>
  <si>
    <t>TC-REC-004</t>
  </si>
  <si>
    <t>User berada di Recruitment &gt; Candidates dan data kandidat tersedia.</t>
  </si>
  <si>
    <t>Candidate Name: kandidat yang tersedia, Contoh : Emard, Gusikowski and Wisoky Hoeger-Corkery Huels Inc</t>
  </si>
  <si>
    <t>1. Buka Candidates.
 2. Klik Filter.
 3. Isi nama candidate.
 4. Klik Search.</t>
  </si>
  <si>
    <t>Hasil menampilkan kandidat yang sesuai.</t>
  </si>
  <si>
    <t>Kandidat yang sesuai dengan kriteria pencarian ditampilkan.</t>
  </si>
  <si>
    <t>TS-REC-005</t>
  </si>
  <si>
    <t>Pencarian candidate tidak ditemukan</t>
  </si>
  <si>
    <t>TC-REC-005</t>
  </si>
  <si>
    <t>User berada di Recruitment &gt; Candidates.</t>
  </si>
  <si>
    <t xml:space="preserve">Candidate: Mas Sandi </t>
  </si>
  <si>
    <t>1. Buka Candidates.
 2. Klik Filter.
 3. Masukkan kata kunci yang tidak ada.
 4. Klik Search.</t>
  </si>
  <si>
    <t>Tidak ada kandidat yang sesuai dengan kata kunci.</t>
  </si>
  <si>
    <t>Tidak ada kandidat yang cocok dengan kata kunci tersebut.</t>
  </si>
  <si>
    <t>TS-REC-006</t>
  </si>
  <si>
    <t>Mencari vacancy berdasarkan nama</t>
  </si>
  <si>
    <t>TC-REC-006</t>
  </si>
  <si>
    <t>User berada di Recruitment &gt; Vacancies dan data vacancy tersedia.</t>
  </si>
  <si>
    <t xml:space="preserve">Vacancy: Junior Account Assistant </t>
  </si>
  <si>
    <t>1. Buka Vacancies.
 2. Buka Filter.
 3. Masukkan nama vacancy.
 4. Klik Search.</t>
  </si>
  <si>
    <t>Hasil menampilkan vacancy yang sesuai.</t>
  </si>
  <si>
    <t>Vacancy yang sesuai dengan kata kunci ditampilkan.</t>
  </si>
  <si>
    <t>TS-REC-007</t>
  </si>
  <si>
    <t>Menambah vacancy dengan data valid</t>
  </si>
  <si>
    <t>TC-REC-007</t>
  </si>
  <si>
    <t>User memiliki hak akses Admin dan berada di Recruitment &gt; Vacancies.</t>
  </si>
  <si>
    <t>Vacancy Name: QA Engineer Test
 Job Title: QA Engineer
 Hiring Manager: manager yang tersedia
 Description: Test vacancy</t>
  </si>
  <si>
    <t>1. Buka Vacancies.
 2. Klik Add.
 3. Isi Vacancy Name.
 4. Pilih Job Title.
 5. Pilih Hiring Manager.
 6. Isi Description.
 7. Klik Save.</t>
  </si>
  <si>
    <t>Vacancy tersimpan dan muncul pada daftar Vacancies.</t>
  </si>
  <si>
    <t>Vacancy berhasil disimpan dan tercantum pada daftar.</t>
  </si>
  <si>
    <t>TS-REC-008</t>
  </si>
  <si>
    <t>Validasi Add Vacancy tanpa Vacancy Name</t>
  </si>
  <si>
    <t>TC-REC-008</t>
  </si>
  <si>
    <t>User berada di Recruitment &gt; Vacancies &gt; Add Vacancy.</t>
  </si>
  <si>
    <t>Vacancy Name: kosong
 Field wajib lain diisi valid</t>
  </si>
  <si>
    <t>1. Klik Add.
 2. Kosongkan Vacancy Name.
 3. Isi field wajib lain.
 4. Klik Save.</t>
  </si>
  <si>
    <t>Sistem menolak penyimpanan dan menampilkan validasi pada field wajib.</t>
  </si>
  <si>
    <t>Penyimpanan tidak dilanjutkan dan validasi Required tampil pada field yang kosong.</t>
  </si>
  <si>
    <t>TS-REC-009</t>
  </si>
  <si>
    <t>Edit vacancy</t>
  </si>
  <si>
    <t>TC-REC-009</t>
  </si>
  <si>
    <t>Minimal satu vacancy tersedia dan user memiliki hak akses Admin.</t>
  </si>
  <si>
    <t>Vacancy: QA Engineer Test
 Description baru: Updated Vacancies</t>
  </si>
  <si>
    <t>1. Buka Vacancies.
 2. Pilih vacancy.
 3. Klik Edit.
 4. Ubah data yang diperbolehkan.
 5. Klik Save.</t>
  </si>
  <si>
    <t>Perubahan tersimpan dan data vacancy diperbarui.</t>
  </si>
  <si>
    <t>Data vacancy berhasil diperbarui dan perubahan tampil pada daftar/detail.</t>
  </si>
  <si>
    <t>TS-REC-010</t>
  </si>
  <si>
    <t>Hapus vacancy</t>
  </si>
  <si>
    <t>TC-REC-010</t>
  </si>
  <si>
    <t>Vacancy: data test yang dibuat</t>
  </si>
  <si>
    <t>1. Buka Vacancies.
 2. Pilih vacancy test.
 3. Klik Delete.
 4. Konfirmasi penghapusan.</t>
  </si>
  <si>
    <t>Vacancy terhapus dan tidak lagi muncul pada daftar.</t>
  </si>
  <si>
    <t>Vacancy berhasil dihapus setelah konfirmasi.</t>
  </si>
  <si>
    <t>TS-REC-011</t>
  </si>
  <si>
    <t>Menambah candidate dengan data valid</t>
  </si>
  <si>
    <t>TC-REC-011</t>
  </si>
  <si>
    <t>User berada di Recruitment &gt; Candidates dan minimal satu vacancy tersedia.</t>
  </si>
  <si>
    <t xml:space="preserve">First Name: Muhammad
Middle Name : Resandi
 Last Name: Sholahuddin
 Email: mresandis@example.com
 Vacancy: Senior QA Lead
</t>
  </si>
  <si>
    <t>1. Buka Candidates.
 2. Klik Add.
 3. Isi nama candidate.
 4. Pilih vacancy.
 5. Isi email/contact sesuai field yang tersedia.
 6. Klik Save.</t>
  </si>
  <si>
    <t>Candidate tersimpan dan muncul pada daftar Candidates.</t>
  </si>
  <si>
    <t>Candidate berhasil disimpan dan muncul pada daftar kandidat.</t>
  </si>
  <si>
    <t>TS-REC-012</t>
  </si>
  <si>
    <t>Validasi Add Candidate tanpa data wajib</t>
  </si>
  <si>
    <t>TC-REC-012</t>
  </si>
  <si>
    <t>User berada di Recruitment &gt; Candidates &gt; Add Candidate.</t>
  </si>
  <si>
    <t>Field wajib: dikosongkan</t>
  </si>
  <si>
    <t>1. Klik Add.
 2. Biarkan field wajib kosong.
 3. Klik Save.</t>
  </si>
  <si>
    <t>Candidate tidak tersimpan dan validasi Required tampil pada field wajib.</t>
  </si>
  <si>
    <t>Login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</si>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</sst>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rgb="FF17365D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0" fontId="1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vertical="top" wrapText="1"/>
    </xf>
    <xf numFmtId="0" fontId="3" fillId="0" borderId="3" xfId="0" applyFont="1" applyBorder="1" applyAlignment="1">
      <alignment horizontal="center" vertical="center"/>
    </xf>
    <xf numFmtId="0" fontId="6" fillId="0" borderId="0" xfId="0" applyFont="1"/>
    <xf numFmtId="0" fontId="4" fillId="0" borderId="4" xfId="0" applyFont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10" fontId="1" fillId="3" borderId="2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3" borderId="6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0" fontId="1" fillId="3" borderId="3" xfId="0" applyNumberFormat="1" applyFont="1" applyFill="1" applyBorder="1" applyAlignment="1">
      <alignment horizontal="center" vertical="center" wrapText="1"/>
    </xf>
    <xf numFmtId="10" fontId="1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957D-885B-4494-BBCD-040583CA4CED}">
  <dimension ref="A3:K58"/>
  <sheetViews>
    <sheetView tabSelected="1" workbookViewId="0">
      <selection activeCell="D8" sqref="D8"/>
    </sheetView>
  </sheetViews>
  <sheetFormatPr defaultRowHeight="14" x14ac:dyDescent="0.3"/>
  <cols>
    <col min="1" max="1" width="13.7265625" style="2" customWidth="1"/>
    <col min="2" max="2" width="15.26953125" style="2" customWidth="1"/>
    <col min="3" max="3" width="18.81640625" style="2" customWidth="1"/>
    <col min="4" max="4" width="16.08984375" style="2" customWidth="1"/>
    <col min="5" max="5" width="17.1796875" style="2" customWidth="1"/>
    <col min="6" max="6" width="10" style="2" customWidth="1"/>
    <col min="7" max="7" width="21.54296875" style="2" customWidth="1"/>
    <col min="8" max="8" width="17.1796875" style="2" customWidth="1"/>
    <col min="9" max="9" width="22.26953125" style="2" customWidth="1"/>
    <col min="10" max="10" width="18.453125" style="2" customWidth="1"/>
    <col min="11" max="11" width="12.81640625" style="2" customWidth="1"/>
    <col min="12" max="16384" width="8.7265625" style="2"/>
  </cols>
  <sheetData>
    <row r="3" spans="1:11" x14ac:dyDescent="0.3">
      <c r="A3" s="1" t="s">
        <v>0</v>
      </c>
      <c r="B3" s="1" t="s">
        <v>1</v>
      </c>
      <c r="C3" s="1" t="s">
        <v>2</v>
      </c>
    </row>
    <row r="4" spans="1:11" x14ac:dyDescent="0.3">
      <c r="A4" s="3" t="s">
        <v>3</v>
      </c>
      <c r="B4" s="3">
        <f>COUNTIF(K14:K58,"Pass")</f>
        <v>35</v>
      </c>
      <c r="C4" s="4">
        <f>COUNTIF(K14:K58,"Pass")/(COUNTIF(K14:K58,"Pass")+COUNTIF(K14:K58,"Failed")+COUNTIF(K14:K58,"Blocked")+COUNTIF(K14:K58,"Untest")+COUNTIF(K15:K60,"In Progress"))</f>
        <v>0.97222222222222221</v>
      </c>
    </row>
    <row r="5" spans="1:11" x14ac:dyDescent="0.3">
      <c r="A5" s="3" t="s">
        <v>4</v>
      </c>
      <c r="B5" s="3">
        <f>COUNTIF(K14:K58,"Failed")</f>
        <v>1</v>
      </c>
      <c r="C5" s="4">
        <f>COUNTIF(K15:K59,"Failed")/(COUNTIF(K15:K59,"Pass")+COUNTIF(K15:K59,"Failed")+COUNTIF(K15:K59,"Blocked")+COUNTIF(K15:K59,"Untest")+COUNTIF(K15:K60,"In Progress"))</f>
        <v>2.8571428571428571E-2</v>
      </c>
    </row>
    <row r="6" spans="1:11" x14ac:dyDescent="0.3">
      <c r="A6" s="3" t="s">
        <v>5</v>
      </c>
      <c r="B6" s="3">
        <f>COUNTIF(K14:K58,"Blocked")</f>
        <v>0</v>
      </c>
      <c r="C6" s="4">
        <f>COUNTIF(K14:K58,"Blocked")/(COUNTIF(K14:K58,"Pass")+COUNTIF(K14:K58,"Failed")+COUNTIF(K14:K58,"Blocked")+COUNTIF(K14:K58,"Untest"))+COUNTIF(K15:K60,"In Progress")</f>
        <v>0</v>
      </c>
    </row>
    <row r="7" spans="1:11" x14ac:dyDescent="0.3">
      <c r="A7" s="14" t="s">
        <v>6</v>
      </c>
      <c r="B7" s="14">
        <f>COUNTIF(K14:K58,"Blocked")</f>
        <v>0</v>
      </c>
      <c r="C7" s="15">
        <f>COUNTIF(K14:K59,"Untested")/(COUNTIF(K14:K59,"Pass")+COUNTIF(K14:K59,"Failed")+COUNTIF(K14:K59,"Blocked")+COUNTIF(K14:K59,"Untest")+COUNTIF(K15:K60,"In Progress"))</f>
        <v>0</v>
      </c>
    </row>
    <row r="8" spans="1:11" x14ac:dyDescent="0.3">
      <c r="A8" s="16" t="s">
        <v>288</v>
      </c>
      <c r="B8" s="18">
        <f>COUNTIF(K15:K59,"In Progress")</f>
        <v>0</v>
      </c>
      <c r="C8" s="19">
        <f>COUNTIF(K15:K60,"Untested")/(COUNTIF(K15:K60,"Pass")+COUNTIF(K15:K60,"Failed")+COUNTIF(K15:K60,"Blocked")+COUNTIF(K15:K60,"Untest")+COUNTIF(K15:K60,"In Progress"))</f>
        <v>0</v>
      </c>
    </row>
    <row r="9" spans="1:11" x14ac:dyDescent="0.3">
      <c r="A9" s="17" t="s">
        <v>7</v>
      </c>
      <c r="B9" s="18">
        <f>COUNTIF(K14:K58,"Pass")+COUNTIF(K14:K58,"Failed")+COUNTIF(K14:K58,"Blocked")+COUNTIF(K14:K58,"Untested")</f>
        <v>36</v>
      </c>
      <c r="C9" s="20">
        <f>(COUNTIF(K14:K58,"Pass")+COUNTIF(K14:K58,"Failed"))/(COUNTIF(K14:K58,"Pass")+COUNTIF(K14:K58,"Failed")+COUNTIF(K14:K58,"Untested")+COUNTIF(K14:K58,"Blocked"))</f>
        <v>1</v>
      </c>
    </row>
    <row r="12" spans="1:11" ht="23" x14ac:dyDescent="0.5">
      <c r="A12" s="13" t="s">
        <v>287</v>
      </c>
      <c r="B12" s="13"/>
    </row>
    <row r="13" spans="1:11" x14ac:dyDescent="0.3">
      <c r="A13" s="5" t="s">
        <v>8</v>
      </c>
      <c r="B13" s="6" t="s">
        <v>9</v>
      </c>
      <c r="C13" s="6" t="s">
        <v>10</v>
      </c>
      <c r="D13" s="6" t="s">
        <v>11</v>
      </c>
      <c r="E13" s="6" t="s">
        <v>12</v>
      </c>
      <c r="F13" s="6" t="s">
        <v>13</v>
      </c>
      <c r="G13" s="6" t="s">
        <v>14</v>
      </c>
      <c r="H13" s="6" t="s">
        <v>15</v>
      </c>
      <c r="I13" s="6" t="s">
        <v>16</v>
      </c>
      <c r="J13" s="6" t="s">
        <v>17</v>
      </c>
      <c r="K13" s="7" t="s">
        <v>0</v>
      </c>
    </row>
    <row r="14" spans="1:11" ht="98" x14ac:dyDescent="0.3">
      <c r="A14" s="8">
        <v>1</v>
      </c>
      <c r="B14" s="9" t="s">
        <v>18</v>
      </c>
      <c r="C14" s="10" t="s">
        <v>19</v>
      </c>
      <c r="D14" s="8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1" t="s">
        <v>3</v>
      </c>
    </row>
    <row r="15" spans="1:11" ht="84" x14ac:dyDescent="0.3">
      <c r="A15" s="8">
        <v>2</v>
      </c>
      <c r="B15" s="9" t="s">
        <v>27</v>
      </c>
      <c r="C15" s="10" t="s">
        <v>28</v>
      </c>
      <c r="D15" s="8" t="s">
        <v>29</v>
      </c>
      <c r="E15" s="10" t="s">
        <v>21</v>
      </c>
      <c r="F15" s="10" t="s">
        <v>30</v>
      </c>
      <c r="G15" s="10" t="s">
        <v>31</v>
      </c>
      <c r="H15" s="10" t="s">
        <v>32</v>
      </c>
      <c r="I15" s="10" t="s">
        <v>33</v>
      </c>
      <c r="J15" s="10" t="s">
        <v>34</v>
      </c>
      <c r="K15" s="11" t="s">
        <v>3</v>
      </c>
    </row>
    <row r="16" spans="1:11" ht="70" x14ac:dyDescent="0.3">
      <c r="A16" s="8">
        <v>3</v>
      </c>
      <c r="B16" s="9" t="s">
        <v>35</v>
      </c>
      <c r="C16" s="10" t="s">
        <v>36</v>
      </c>
      <c r="D16" s="8" t="s">
        <v>37</v>
      </c>
      <c r="E16" s="10" t="s">
        <v>21</v>
      </c>
      <c r="F16" s="10" t="s">
        <v>30</v>
      </c>
      <c r="G16" s="10" t="s">
        <v>38</v>
      </c>
      <c r="H16" s="10" t="s">
        <v>39</v>
      </c>
      <c r="I16" s="10" t="s">
        <v>33</v>
      </c>
      <c r="J16" s="10" t="s">
        <v>34</v>
      </c>
      <c r="K16" s="11" t="s">
        <v>3</v>
      </c>
    </row>
    <row r="17" spans="1:11" ht="70" x14ac:dyDescent="0.3">
      <c r="A17" s="8">
        <v>4</v>
      </c>
      <c r="B17" s="9" t="s">
        <v>40</v>
      </c>
      <c r="C17" s="10" t="s">
        <v>41</v>
      </c>
      <c r="D17" s="8" t="s">
        <v>42</v>
      </c>
      <c r="E17" s="10" t="s">
        <v>21</v>
      </c>
      <c r="F17" s="10" t="s">
        <v>30</v>
      </c>
      <c r="G17" s="10" t="s">
        <v>43</v>
      </c>
      <c r="H17" s="10" t="s">
        <v>44</v>
      </c>
      <c r="I17" s="10" t="s">
        <v>33</v>
      </c>
      <c r="J17" s="10" t="s">
        <v>34</v>
      </c>
      <c r="K17" s="11" t="s">
        <v>3</v>
      </c>
    </row>
    <row r="18" spans="1:11" ht="70" x14ac:dyDescent="0.3">
      <c r="A18" s="8">
        <v>5</v>
      </c>
      <c r="B18" s="9" t="s">
        <v>45</v>
      </c>
      <c r="C18" s="10" t="s">
        <v>46</v>
      </c>
      <c r="D18" s="8" t="s">
        <v>47</v>
      </c>
      <c r="E18" s="10" t="s">
        <v>21</v>
      </c>
      <c r="F18" s="10" t="s">
        <v>30</v>
      </c>
      <c r="G18" s="10" t="s">
        <v>48</v>
      </c>
      <c r="H18" s="10" t="s">
        <v>49</v>
      </c>
      <c r="I18" s="10" t="s">
        <v>50</v>
      </c>
      <c r="J18" s="10" t="s">
        <v>51</v>
      </c>
      <c r="K18" s="11" t="s">
        <v>3</v>
      </c>
    </row>
    <row r="19" spans="1:11" ht="70" x14ac:dyDescent="0.3">
      <c r="A19" s="8">
        <v>6</v>
      </c>
      <c r="B19" s="9" t="s">
        <v>52</v>
      </c>
      <c r="C19" s="10" t="s">
        <v>53</v>
      </c>
      <c r="D19" s="8" t="s">
        <v>54</v>
      </c>
      <c r="E19" s="10" t="s">
        <v>21</v>
      </c>
      <c r="F19" s="10" t="s">
        <v>55</v>
      </c>
      <c r="G19" s="10" t="s">
        <v>56</v>
      </c>
      <c r="H19" s="10" t="s">
        <v>57</v>
      </c>
      <c r="I19" s="10" t="s">
        <v>58</v>
      </c>
      <c r="J19" s="10" t="s">
        <v>59</v>
      </c>
      <c r="K19" s="11" t="s">
        <v>3</v>
      </c>
    </row>
    <row r="20" spans="1:11" ht="84" x14ac:dyDescent="0.3">
      <c r="A20" s="8">
        <v>7</v>
      </c>
      <c r="B20" s="9" t="s">
        <v>60</v>
      </c>
      <c r="C20" s="10" t="s">
        <v>61</v>
      </c>
      <c r="D20" s="8" t="s">
        <v>62</v>
      </c>
      <c r="E20" s="10" t="s">
        <v>21</v>
      </c>
      <c r="F20" s="10" t="s">
        <v>55</v>
      </c>
      <c r="G20" s="10" t="s">
        <v>63</v>
      </c>
      <c r="H20" s="10" t="s">
        <v>64</v>
      </c>
      <c r="I20" s="10" t="s">
        <v>65</v>
      </c>
      <c r="J20" s="10" t="s">
        <v>66</v>
      </c>
      <c r="K20" s="11" t="s">
        <v>3</v>
      </c>
    </row>
    <row r="21" spans="1:11" ht="84" x14ac:dyDescent="0.3">
      <c r="A21" s="8">
        <v>8</v>
      </c>
      <c r="B21" s="9" t="s">
        <v>67</v>
      </c>
      <c r="C21" s="10" t="s">
        <v>68</v>
      </c>
      <c r="D21" s="8" t="s">
        <v>69</v>
      </c>
      <c r="E21" s="10" t="s">
        <v>70</v>
      </c>
      <c r="F21" s="10" t="s">
        <v>22</v>
      </c>
      <c r="G21" s="10" t="s">
        <v>71</v>
      </c>
      <c r="H21" s="10" t="s">
        <v>72</v>
      </c>
      <c r="I21" s="10" t="s">
        <v>73</v>
      </c>
      <c r="J21" s="10" t="s">
        <v>74</v>
      </c>
      <c r="K21" s="11" t="s">
        <v>3</v>
      </c>
    </row>
    <row r="22" spans="1:11" ht="84" x14ac:dyDescent="0.3">
      <c r="A22" s="8">
        <v>9</v>
      </c>
      <c r="B22" s="9" t="s">
        <v>75</v>
      </c>
      <c r="C22" s="10" t="s">
        <v>76</v>
      </c>
      <c r="D22" s="8" t="s">
        <v>77</v>
      </c>
      <c r="E22" s="10" t="s">
        <v>21</v>
      </c>
      <c r="F22" s="10" t="s">
        <v>30</v>
      </c>
      <c r="G22" s="10" t="s">
        <v>78</v>
      </c>
      <c r="H22" s="10" t="s">
        <v>79</v>
      </c>
      <c r="I22" s="10" t="s">
        <v>80</v>
      </c>
      <c r="J22" s="10" t="s">
        <v>34</v>
      </c>
      <c r="K22" s="11" t="s">
        <v>4</v>
      </c>
    </row>
    <row r="23" spans="1:11" ht="84" x14ac:dyDescent="0.3">
      <c r="A23" s="8">
        <v>10</v>
      </c>
      <c r="B23" s="9" t="s">
        <v>81</v>
      </c>
      <c r="C23" s="10" t="s">
        <v>82</v>
      </c>
      <c r="D23" s="8" t="s">
        <v>83</v>
      </c>
      <c r="E23" s="10" t="s">
        <v>21</v>
      </c>
      <c r="F23" s="10" t="s">
        <v>30</v>
      </c>
      <c r="G23" s="10" t="s">
        <v>84</v>
      </c>
      <c r="H23" s="10" t="s">
        <v>85</v>
      </c>
      <c r="I23" s="10" t="s">
        <v>86</v>
      </c>
      <c r="J23" s="10" t="s">
        <v>34</v>
      </c>
      <c r="K23" s="11" t="s">
        <v>3</v>
      </c>
    </row>
    <row r="24" spans="1:11" ht="84" x14ac:dyDescent="0.3">
      <c r="A24" s="8">
        <v>11</v>
      </c>
      <c r="B24" s="9" t="s">
        <v>87</v>
      </c>
      <c r="C24" s="10" t="s">
        <v>88</v>
      </c>
      <c r="D24" s="8" t="s">
        <v>89</v>
      </c>
      <c r="E24" s="10" t="s">
        <v>70</v>
      </c>
      <c r="F24" s="10" t="s">
        <v>22</v>
      </c>
      <c r="G24" s="10" t="s">
        <v>90</v>
      </c>
      <c r="H24" s="10" t="s">
        <v>91</v>
      </c>
      <c r="I24" s="10" t="s">
        <v>92</v>
      </c>
      <c r="J24" s="10" t="s">
        <v>93</v>
      </c>
      <c r="K24" s="11" t="s">
        <v>3</v>
      </c>
    </row>
    <row r="25" spans="1:11" ht="98" x14ac:dyDescent="0.3">
      <c r="A25" s="8">
        <v>12</v>
      </c>
      <c r="B25" s="9" t="s">
        <v>94</v>
      </c>
      <c r="C25" s="10" t="s">
        <v>95</v>
      </c>
      <c r="D25" s="8" t="s">
        <v>96</v>
      </c>
      <c r="E25" s="10" t="s">
        <v>21</v>
      </c>
      <c r="F25" s="10" t="s">
        <v>22</v>
      </c>
      <c r="G25" s="10" t="s">
        <v>23</v>
      </c>
      <c r="H25" s="10" t="s">
        <v>97</v>
      </c>
      <c r="I25" s="10" t="s">
        <v>98</v>
      </c>
      <c r="J25" s="10" t="s">
        <v>99</v>
      </c>
      <c r="K25" s="11" t="s">
        <v>3</v>
      </c>
    </row>
    <row r="28" spans="1:11" ht="23" x14ac:dyDescent="0.5">
      <c r="A28" s="13" t="s">
        <v>100</v>
      </c>
      <c r="B28" s="13"/>
    </row>
    <row r="29" spans="1:11" x14ac:dyDescent="0.3">
      <c r="A29" s="5" t="s">
        <v>8</v>
      </c>
      <c r="B29" s="6" t="s">
        <v>9</v>
      </c>
      <c r="C29" s="6" t="s">
        <v>10</v>
      </c>
      <c r="D29" s="6" t="s">
        <v>11</v>
      </c>
      <c r="E29" s="6" t="s">
        <v>12</v>
      </c>
      <c r="F29" s="6" t="s">
        <v>13</v>
      </c>
      <c r="G29" s="6" t="s">
        <v>14</v>
      </c>
      <c r="H29" s="6" t="s">
        <v>15</v>
      </c>
      <c r="I29" s="6" t="s">
        <v>16</v>
      </c>
      <c r="J29" s="6" t="s">
        <v>17</v>
      </c>
      <c r="K29" s="7" t="s">
        <v>0</v>
      </c>
    </row>
    <row r="30" spans="1:11" ht="56" x14ac:dyDescent="0.3">
      <c r="A30" s="8">
        <v>1</v>
      </c>
      <c r="B30" s="9" t="s">
        <v>101</v>
      </c>
      <c r="C30" s="10" t="s">
        <v>102</v>
      </c>
      <c r="D30" s="8" t="s">
        <v>103</v>
      </c>
      <c r="E30" s="10" t="s">
        <v>104</v>
      </c>
      <c r="F30" s="10" t="s">
        <v>22</v>
      </c>
      <c r="G30" s="10" t="s">
        <v>105</v>
      </c>
      <c r="H30" s="10" t="s">
        <v>106</v>
      </c>
      <c r="I30" s="10" t="s">
        <v>107</v>
      </c>
      <c r="J30" s="10" t="s">
        <v>108</v>
      </c>
      <c r="K30" s="11" t="s">
        <v>3</v>
      </c>
    </row>
    <row r="31" spans="1:11" ht="42" x14ac:dyDescent="0.3">
      <c r="A31" s="8">
        <v>2</v>
      </c>
      <c r="B31" s="9" t="s">
        <v>109</v>
      </c>
      <c r="C31" s="10" t="s">
        <v>110</v>
      </c>
      <c r="D31" s="8" t="s">
        <v>111</v>
      </c>
      <c r="E31" s="10" t="s">
        <v>112</v>
      </c>
      <c r="F31" s="10" t="s">
        <v>22</v>
      </c>
      <c r="G31" s="10" t="s">
        <v>113</v>
      </c>
      <c r="H31" s="10" t="s">
        <v>114</v>
      </c>
      <c r="I31" s="10" t="s">
        <v>115</v>
      </c>
      <c r="J31" s="10" t="s">
        <v>116</v>
      </c>
      <c r="K31" s="11" t="s">
        <v>3</v>
      </c>
    </row>
    <row r="32" spans="1:11" ht="84" x14ac:dyDescent="0.3">
      <c r="A32" s="8">
        <v>3</v>
      </c>
      <c r="B32" s="9" t="s">
        <v>117</v>
      </c>
      <c r="C32" s="10" t="s">
        <v>118</v>
      </c>
      <c r="D32" s="8" t="s">
        <v>119</v>
      </c>
      <c r="E32" s="10" t="s">
        <v>120</v>
      </c>
      <c r="F32" s="10" t="s">
        <v>22</v>
      </c>
      <c r="G32" s="10" t="s">
        <v>121</v>
      </c>
      <c r="H32" s="10" t="s">
        <v>122</v>
      </c>
      <c r="I32" s="10" t="s">
        <v>123</v>
      </c>
      <c r="J32" s="10" t="s">
        <v>124</v>
      </c>
      <c r="K32" s="11" t="s">
        <v>3</v>
      </c>
    </row>
    <row r="33" spans="1:11" ht="70" x14ac:dyDescent="0.3">
      <c r="A33" s="8">
        <v>4</v>
      </c>
      <c r="B33" s="9" t="s">
        <v>125</v>
      </c>
      <c r="C33" s="10" t="s">
        <v>126</v>
      </c>
      <c r="D33" s="8" t="s">
        <v>127</v>
      </c>
      <c r="E33" s="10" t="s">
        <v>112</v>
      </c>
      <c r="F33" s="10" t="s">
        <v>30</v>
      </c>
      <c r="G33" s="10" t="s">
        <v>128</v>
      </c>
      <c r="H33" s="10" t="s">
        <v>129</v>
      </c>
      <c r="I33" s="10" t="s">
        <v>130</v>
      </c>
      <c r="J33" s="10" t="s">
        <v>131</v>
      </c>
      <c r="K33" s="11" t="s">
        <v>3</v>
      </c>
    </row>
    <row r="34" spans="1:11" ht="56" x14ac:dyDescent="0.3">
      <c r="A34" s="8">
        <v>5</v>
      </c>
      <c r="B34" s="9" t="s">
        <v>132</v>
      </c>
      <c r="C34" s="10" t="s">
        <v>133</v>
      </c>
      <c r="D34" s="8" t="s">
        <v>134</v>
      </c>
      <c r="E34" s="10" t="s">
        <v>112</v>
      </c>
      <c r="F34" s="10" t="s">
        <v>22</v>
      </c>
      <c r="G34" s="10" t="s">
        <v>135</v>
      </c>
      <c r="H34" s="10" t="s">
        <v>136</v>
      </c>
      <c r="I34" s="10" t="s">
        <v>137</v>
      </c>
      <c r="J34" s="10" t="s">
        <v>138</v>
      </c>
      <c r="K34" s="11" t="s">
        <v>3</v>
      </c>
    </row>
    <row r="35" spans="1:11" ht="84" x14ac:dyDescent="0.3">
      <c r="A35" s="8">
        <v>6</v>
      </c>
      <c r="B35" s="9" t="s">
        <v>139</v>
      </c>
      <c r="C35" s="10" t="s">
        <v>140</v>
      </c>
      <c r="D35" s="8" t="s">
        <v>141</v>
      </c>
      <c r="E35" s="10" t="s">
        <v>112</v>
      </c>
      <c r="F35" s="10" t="s">
        <v>22</v>
      </c>
      <c r="G35" s="10" t="s">
        <v>142</v>
      </c>
      <c r="H35" s="10" t="s">
        <v>143</v>
      </c>
      <c r="I35" s="10" t="s">
        <v>144</v>
      </c>
      <c r="J35" s="10" t="s">
        <v>145</v>
      </c>
      <c r="K35" s="11" t="s">
        <v>3</v>
      </c>
    </row>
    <row r="36" spans="1:11" ht="56" x14ac:dyDescent="0.3">
      <c r="A36" s="8">
        <v>7</v>
      </c>
      <c r="B36" s="9" t="s">
        <v>146</v>
      </c>
      <c r="C36" s="10" t="s">
        <v>147</v>
      </c>
      <c r="D36" s="8" t="s">
        <v>148</v>
      </c>
      <c r="E36" s="10" t="s">
        <v>149</v>
      </c>
      <c r="F36" s="10" t="s">
        <v>22</v>
      </c>
      <c r="G36" s="10" t="s">
        <v>150</v>
      </c>
      <c r="H36" s="10" t="s">
        <v>151</v>
      </c>
      <c r="I36" s="10" t="s">
        <v>152</v>
      </c>
      <c r="J36" s="10" t="s">
        <v>153</v>
      </c>
      <c r="K36" s="11" t="s">
        <v>3</v>
      </c>
    </row>
    <row r="37" spans="1:11" ht="70" x14ac:dyDescent="0.3">
      <c r="A37" s="8">
        <v>8</v>
      </c>
      <c r="B37" s="9" t="s">
        <v>154</v>
      </c>
      <c r="C37" s="10" t="s">
        <v>155</v>
      </c>
      <c r="D37" s="8" t="s">
        <v>156</v>
      </c>
      <c r="E37" s="10" t="s">
        <v>157</v>
      </c>
      <c r="F37" s="10" t="s">
        <v>22</v>
      </c>
      <c r="G37" s="10" t="s">
        <v>158</v>
      </c>
      <c r="H37" s="10" t="s">
        <v>159</v>
      </c>
      <c r="I37" s="10" t="s">
        <v>160</v>
      </c>
      <c r="J37" s="10" t="s">
        <v>161</v>
      </c>
      <c r="K37" s="11" t="s">
        <v>3</v>
      </c>
    </row>
    <row r="38" spans="1:11" ht="70" x14ac:dyDescent="0.3">
      <c r="A38" s="8">
        <v>9</v>
      </c>
      <c r="B38" s="9" t="s">
        <v>162</v>
      </c>
      <c r="C38" s="10" t="s">
        <v>163</v>
      </c>
      <c r="D38" s="8" t="s">
        <v>164</v>
      </c>
      <c r="E38" s="10" t="s">
        <v>165</v>
      </c>
      <c r="F38" s="10" t="s">
        <v>22</v>
      </c>
      <c r="G38" s="10" t="s">
        <v>166</v>
      </c>
      <c r="H38" s="10" t="s">
        <v>167</v>
      </c>
      <c r="I38" s="10" t="s">
        <v>168</v>
      </c>
      <c r="J38" s="10" t="s">
        <v>169</v>
      </c>
      <c r="K38" s="11" t="s">
        <v>3</v>
      </c>
    </row>
    <row r="39" spans="1:11" ht="70" x14ac:dyDescent="0.3">
      <c r="A39" s="8">
        <v>10</v>
      </c>
      <c r="B39" s="9" t="s">
        <v>170</v>
      </c>
      <c r="C39" s="10" t="s">
        <v>171</v>
      </c>
      <c r="D39" s="8" t="s">
        <v>172</v>
      </c>
      <c r="E39" s="10" t="s">
        <v>173</v>
      </c>
      <c r="F39" s="10" t="s">
        <v>22</v>
      </c>
      <c r="G39" s="10" t="s">
        <v>174</v>
      </c>
      <c r="H39" s="10" t="s">
        <v>175</v>
      </c>
      <c r="I39" s="10" t="s">
        <v>176</v>
      </c>
      <c r="J39" s="10" t="s">
        <v>177</v>
      </c>
      <c r="K39" s="11" t="s">
        <v>3</v>
      </c>
    </row>
    <row r="40" spans="1:11" ht="112" x14ac:dyDescent="0.3">
      <c r="A40" s="8">
        <v>11</v>
      </c>
      <c r="B40" s="9" t="s">
        <v>178</v>
      </c>
      <c r="C40" s="10" t="s">
        <v>179</v>
      </c>
      <c r="D40" s="8" t="s">
        <v>180</v>
      </c>
      <c r="E40" s="10" t="s">
        <v>181</v>
      </c>
      <c r="F40" s="10" t="s">
        <v>22</v>
      </c>
      <c r="G40" s="10" t="s">
        <v>182</v>
      </c>
      <c r="H40" s="10" t="s">
        <v>183</v>
      </c>
      <c r="I40" s="10" t="s">
        <v>184</v>
      </c>
      <c r="J40" s="10" t="s">
        <v>185</v>
      </c>
      <c r="K40" s="11" t="s">
        <v>3</v>
      </c>
    </row>
    <row r="41" spans="1:11" ht="98" x14ac:dyDescent="0.3">
      <c r="A41" s="8">
        <v>12</v>
      </c>
      <c r="B41" s="9" t="s">
        <v>186</v>
      </c>
      <c r="C41" s="10" t="s">
        <v>187</v>
      </c>
      <c r="D41" s="8" t="s">
        <v>188</v>
      </c>
      <c r="E41" s="10" t="s">
        <v>189</v>
      </c>
      <c r="F41" s="10" t="s">
        <v>22</v>
      </c>
      <c r="G41" s="10" t="s">
        <v>190</v>
      </c>
      <c r="H41" s="10" t="s">
        <v>191</v>
      </c>
      <c r="I41" s="10" t="s">
        <v>192</v>
      </c>
      <c r="J41" s="10" t="s">
        <v>193</v>
      </c>
      <c r="K41" s="11" t="s">
        <v>3</v>
      </c>
    </row>
    <row r="44" spans="1:11" x14ac:dyDescent="0.3">
      <c r="A44" s="12"/>
    </row>
    <row r="45" spans="1:11" ht="23" x14ac:dyDescent="0.5">
      <c r="A45" s="13" t="s">
        <v>194</v>
      </c>
      <c r="B45" s="13"/>
    </row>
    <row r="46" spans="1:11" x14ac:dyDescent="0.3">
      <c r="A46" s="5" t="s">
        <v>8</v>
      </c>
      <c r="B46" s="6" t="s">
        <v>9</v>
      </c>
      <c r="C46" s="6" t="s">
        <v>10</v>
      </c>
      <c r="D46" s="6" t="s">
        <v>11</v>
      </c>
      <c r="E46" s="6" t="s">
        <v>12</v>
      </c>
      <c r="F46" s="6" t="s">
        <v>13</v>
      </c>
      <c r="G46" s="6" t="s">
        <v>14</v>
      </c>
      <c r="H46" s="6" t="s">
        <v>15</v>
      </c>
      <c r="I46" s="6" t="s">
        <v>16</v>
      </c>
      <c r="J46" s="6" t="s">
        <v>17</v>
      </c>
      <c r="K46" s="7" t="s">
        <v>0</v>
      </c>
    </row>
    <row r="47" spans="1:11" ht="56" x14ac:dyDescent="0.3">
      <c r="A47" s="8">
        <v>1</v>
      </c>
      <c r="B47" s="9" t="s">
        <v>195</v>
      </c>
      <c r="C47" s="10" t="s">
        <v>196</v>
      </c>
      <c r="D47" s="8" t="s">
        <v>197</v>
      </c>
      <c r="E47" s="10" t="s">
        <v>104</v>
      </c>
      <c r="F47" s="10" t="s">
        <v>198</v>
      </c>
      <c r="G47" s="10" t="s">
        <v>105</v>
      </c>
      <c r="H47" s="10" t="s">
        <v>199</v>
      </c>
      <c r="I47" s="10" t="s">
        <v>200</v>
      </c>
      <c r="J47" s="10" t="s">
        <v>201</v>
      </c>
      <c r="K47" s="11" t="s">
        <v>3</v>
      </c>
    </row>
    <row r="48" spans="1:11" ht="56" x14ac:dyDescent="0.3">
      <c r="A48" s="8">
        <v>2</v>
      </c>
      <c r="B48" s="9" t="s">
        <v>202</v>
      </c>
      <c r="C48" s="10" t="s">
        <v>203</v>
      </c>
      <c r="D48" s="8" t="s">
        <v>204</v>
      </c>
      <c r="E48" s="10" t="s">
        <v>205</v>
      </c>
      <c r="F48" s="10" t="s">
        <v>22</v>
      </c>
      <c r="G48" s="10" t="s">
        <v>206</v>
      </c>
      <c r="H48" s="10" t="s">
        <v>207</v>
      </c>
      <c r="I48" s="10" t="s">
        <v>208</v>
      </c>
      <c r="J48" s="10" t="s">
        <v>209</v>
      </c>
      <c r="K48" s="11" t="s">
        <v>3</v>
      </c>
    </row>
    <row r="49" spans="1:11" ht="56" x14ac:dyDescent="0.3">
      <c r="A49" s="8">
        <v>3</v>
      </c>
      <c r="B49" s="9" t="s">
        <v>210</v>
      </c>
      <c r="C49" s="10" t="s">
        <v>211</v>
      </c>
      <c r="D49" s="8" t="s">
        <v>212</v>
      </c>
      <c r="E49" s="10" t="s">
        <v>205</v>
      </c>
      <c r="F49" s="10" t="s">
        <v>198</v>
      </c>
      <c r="G49" s="10" t="s">
        <v>213</v>
      </c>
      <c r="H49" s="10" t="s">
        <v>214</v>
      </c>
      <c r="I49" s="10" t="s">
        <v>215</v>
      </c>
      <c r="J49" s="10" t="s">
        <v>216</v>
      </c>
      <c r="K49" s="11" t="s">
        <v>3</v>
      </c>
    </row>
    <row r="50" spans="1:11" ht="84" x14ac:dyDescent="0.3">
      <c r="A50" s="8">
        <v>4</v>
      </c>
      <c r="B50" s="9" t="s">
        <v>217</v>
      </c>
      <c r="C50" s="10" t="s">
        <v>218</v>
      </c>
      <c r="D50" s="8" t="s">
        <v>219</v>
      </c>
      <c r="E50" s="10" t="s">
        <v>220</v>
      </c>
      <c r="F50" s="10" t="s">
        <v>22</v>
      </c>
      <c r="G50" s="10" t="s">
        <v>221</v>
      </c>
      <c r="H50" s="10" t="s">
        <v>222</v>
      </c>
      <c r="I50" s="10" t="s">
        <v>223</v>
      </c>
      <c r="J50" s="10" t="s">
        <v>224</v>
      </c>
      <c r="K50" s="11" t="s">
        <v>3</v>
      </c>
    </row>
    <row r="51" spans="1:11" ht="98" x14ac:dyDescent="0.3">
      <c r="A51" s="8">
        <v>5</v>
      </c>
      <c r="B51" s="9" t="s">
        <v>225</v>
      </c>
      <c r="C51" s="10" t="s">
        <v>226</v>
      </c>
      <c r="D51" s="8" t="s">
        <v>227</v>
      </c>
      <c r="E51" s="10" t="s">
        <v>228</v>
      </c>
      <c r="F51" s="10" t="s">
        <v>30</v>
      </c>
      <c r="G51" s="10" t="s">
        <v>229</v>
      </c>
      <c r="H51" s="10" t="s">
        <v>230</v>
      </c>
      <c r="I51" s="10" t="s">
        <v>231</v>
      </c>
      <c r="J51" s="10" t="s">
        <v>232</v>
      </c>
      <c r="K51" s="11" t="s">
        <v>3</v>
      </c>
    </row>
    <row r="52" spans="1:11" ht="84" x14ac:dyDescent="0.3">
      <c r="A52" s="8">
        <v>6</v>
      </c>
      <c r="B52" s="9" t="s">
        <v>233</v>
      </c>
      <c r="C52" s="10" t="s">
        <v>234</v>
      </c>
      <c r="D52" s="8" t="s">
        <v>235</v>
      </c>
      <c r="E52" s="10" t="s">
        <v>236</v>
      </c>
      <c r="F52" s="10" t="s">
        <v>22</v>
      </c>
      <c r="G52" s="10" t="s">
        <v>237</v>
      </c>
      <c r="H52" s="10" t="s">
        <v>238</v>
      </c>
      <c r="I52" s="10" t="s">
        <v>239</v>
      </c>
      <c r="J52" s="10" t="s">
        <v>240</v>
      </c>
      <c r="K52" s="11" t="s">
        <v>3</v>
      </c>
    </row>
    <row r="53" spans="1:11" ht="140" x14ac:dyDescent="0.3">
      <c r="A53" s="8">
        <v>7</v>
      </c>
      <c r="B53" s="9" t="s">
        <v>241</v>
      </c>
      <c r="C53" s="10" t="s">
        <v>242</v>
      </c>
      <c r="D53" s="8" t="s">
        <v>243</v>
      </c>
      <c r="E53" s="10" t="s">
        <v>244</v>
      </c>
      <c r="F53" s="10" t="s">
        <v>22</v>
      </c>
      <c r="G53" s="10" t="s">
        <v>245</v>
      </c>
      <c r="H53" s="10" t="s">
        <v>246</v>
      </c>
      <c r="I53" s="10" t="s">
        <v>247</v>
      </c>
      <c r="J53" s="10" t="s">
        <v>248</v>
      </c>
      <c r="K53" s="11" t="s">
        <v>3</v>
      </c>
    </row>
    <row r="54" spans="1:11" ht="84" x14ac:dyDescent="0.3">
      <c r="A54" s="8">
        <v>8</v>
      </c>
      <c r="B54" s="9" t="s">
        <v>249</v>
      </c>
      <c r="C54" s="10" t="s">
        <v>250</v>
      </c>
      <c r="D54" s="8" t="s">
        <v>251</v>
      </c>
      <c r="E54" s="10" t="s">
        <v>252</v>
      </c>
      <c r="F54" s="10" t="s">
        <v>30</v>
      </c>
      <c r="G54" s="10" t="s">
        <v>253</v>
      </c>
      <c r="H54" s="10" t="s">
        <v>254</v>
      </c>
      <c r="I54" s="10" t="s">
        <v>255</v>
      </c>
      <c r="J54" s="10" t="s">
        <v>256</v>
      </c>
      <c r="K54" s="11" t="s">
        <v>3</v>
      </c>
    </row>
    <row r="55" spans="1:11" ht="112" x14ac:dyDescent="0.3">
      <c r="A55" s="8">
        <v>9</v>
      </c>
      <c r="B55" s="9" t="s">
        <v>257</v>
      </c>
      <c r="C55" s="10" t="s">
        <v>258</v>
      </c>
      <c r="D55" s="8" t="s">
        <v>259</v>
      </c>
      <c r="E55" s="10" t="s">
        <v>260</v>
      </c>
      <c r="F55" s="10" t="s">
        <v>22</v>
      </c>
      <c r="G55" s="10" t="s">
        <v>261</v>
      </c>
      <c r="H55" s="10" t="s">
        <v>262</v>
      </c>
      <c r="I55" s="10" t="s">
        <v>263</v>
      </c>
      <c r="J55" s="10" t="s">
        <v>264</v>
      </c>
      <c r="K55" s="11" t="s">
        <v>3</v>
      </c>
    </row>
    <row r="56" spans="1:11" ht="98" x14ac:dyDescent="0.3">
      <c r="A56" s="8">
        <v>10</v>
      </c>
      <c r="B56" s="9" t="s">
        <v>265</v>
      </c>
      <c r="C56" s="10" t="s">
        <v>266</v>
      </c>
      <c r="D56" s="8" t="s">
        <v>267</v>
      </c>
      <c r="E56" s="10" t="s">
        <v>260</v>
      </c>
      <c r="F56" s="10" t="s">
        <v>22</v>
      </c>
      <c r="G56" s="10" t="s">
        <v>268</v>
      </c>
      <c r="H56" s="10" t="s">
        <v>269</v>
      </c>
      <c r="I56" s="10" t="s">
        <v>270</v>
      </c>
      <c r="J56" s="10" t="s">
        <v>271</v>
      </c>
      <c r="K56" s="11" t="s">
        <v>3</v>
      </c>
    </row>
    <row r="57" spans="1:11" ht="154" x14ac:dyDescent="0.3">
      <c r="A57" s="8">
        <v>11</v>
      </c>
      <c r="B57" s="9" t="s">
        <v>272</v>
      </c>
      <c r="C57" s="10" t="s">
        <v>273</v>
      </c>
      <c r="D57" s="8" t="s">
        <v>274</v>
      </c>
      <c r="E57" s="10" t="s">
        <v>275</v>
      </c>
      <c r="F57" s="10" t="s">
        <v>22</v>
      </c>
      <c r="G57" s="10" t="s">
        <v>276</v>
      </c>
      <c r="H57" s="10" t="s">
        <v>277</v>
      </c>
      <c r="I57" s="10" t="s">
        <v>278</v>
      </c>
      <c r="J57" s="10" t="s">
        <v>279</v>
      </c>
      <c r="K57" s="11" t="s">
        <v>3</v>
      </c>
    </row>
    <row r="58" spans="1:11" ht="70" x14ac:dyDescent="0.3">
      <c r="A58" s="8">
        <v>12</v>
      </c>
      <c r="B58" s="9" t="s">
        <v>280</v>
      </c>
      <c r="C58" s="10" t="s">
        <v>281</v>
      </c>
      <c r="D58" s="8" t="s">
        <v>282</v>
      </c>
      <c r="E58" s="10" t="s">
        <v>283</v>
      </c>
      <c r="F58" s="10" t="s">
        <v>30</v>
      </c>
      <c r="G58" s="10" t="s">
        <v>284</v>
      </c>
      <c r="H58" s="10" t="s">
        <v>285</v>
      </c>
      <c r="I58" s="10" t="s">
        <v>255</v>
      </c>
      <c r="J58" s="10" t="s">
        <v>286</v>
      </c>
      <c r="K58" s="11" t="s">
        <v>3</v>
      </c>
    </row>
  </sheetData>
  <mergeCells count="3">
    <mergeCell ref="A12:B12"/>
    <mergeCell ref="A28:B28"/>
    <mergeCell ref="A45:B45"/>
  </mergeCells>
  <conditionalFormatting sqref="K14:K58">
    <cfRule type="cellIs" dxfId="4" priority="2" operator="equal">
      <formula>"Failed"</formula>
    </cfRule>
    <cfRule type="cellIs" dxfId="3" priority="3" operator="equal">
      <formula>"Pass"</formula>
    </cfRule>
  </conditionalFormatting>
  <conditionalFormatting sqref="K14">
    <cfRule type="cellIs" dxfId="0" priority="1" operator="equal">
      <formula>"In Progress"</formula>
    </cfRule>
  </conditionalFormatting>
  <dataValidations count="1">
    <dataValidation type="list" allowBlank="1" showErrorMessage="1" sqref="K14:K58" xr:uid="{F74C0F25-FB72-49AB-ACDC-E3FC0BDC2F59}">
      <formula1>"Pass,Failed,Untested,Blocked,In Progress"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woke oke</dc:creator>
  <cp:lastModifiedBy>woke oke</cp:lastModifiedBy>
  <dcterms:created xsi:type="dcterms:W3CDTF">2026-10-04T03:33:30Z</dcterms:created>
  <dcterms:modified xsi:type="dcterms:W3CDTF">2026-10-04T04:50:06Z</dcterms:modified>
</cp:coreProperties>
</file>